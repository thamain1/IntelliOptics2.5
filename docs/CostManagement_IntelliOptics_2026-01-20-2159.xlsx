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Dev\IntelliOptics 2.0\docs\"/>
    </mc:Choice>
  </mc:AlternateContent>
  <xr:revisionPtr revIDLastSave="0" documentId="8_{2478F9EE-9D2B-4271-A3F8-83A436D32FAE}" xr6:coauthVersionLast="47" xr6:coauthVersionMax="47" xr10:uidLastSave="{00000000-0000-0000-0000-000000000000}"/>
  <bookViews>
    <workbookView xWindow="-120" yWindow="-120" windowWidth="20640" windowHeight="11760" activeTab="1" xr2:uid="{00000000-000D-0000-FFFF-FFFF00000000}"/>
  </bookViews>
  <sheets>
    <sheet name="Summary" sheetId="1" r:id="rId1"/>
    <sheet name="Data" sheetId="2" r:id="rId2"/>
  </sheets>
  <definedNames>
    <definedName name="_xlnm._FilterDatabase" localSheetId="1">Data!A1:K29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3" i="1"/>
</calcChain>
</file>

<file path=xl/sharedStrings.xml><?xml version="1.0" encoding="utf-8"?>
<sst xmlns="http://schemas.openxmlformats.org/spreadsheetml/2006/main" count="304" uniqueCount="109">
  <si>
    <t/>
  </si>
  <si>
    <t>Scope</t>
  </si>
  <si>
    <t>Name:</t>
  </si>
  <si>
    <t>IntelliOptics</t>
  </si>
  <si>
    <t>Type:</t>
  </si>
  <si>
    <t>Resource group</t>
  </si>
  <si>
    <t>ID:</t>
  </si>
  <si>
    <t>/subscriptions/13b8351d-42fc-45bc-b831-775a7ea6be09/resourceGroups/IntelliOptics</t>
  </si>
  <si>
    <t>View:</t>
  </si>
  <si>
    <t>Custom view</t>
  </si>
  <si>
    <t>Start date:</t>
  </si>
  <si>
    <t>Thu, Jan 01, 2026</t>
  </si>
  <si>
    <t>End date:</t>
  </si>
  <si>
    <t>Sat, Jan 31, 2026</t>
  </si>
  <si>
    <t>Granularity:</t>
  </si>
  <si>
    <t>None</t>
  </si>
  <si>
    <t>Group by:</t>
  </si>
  <si>
    <t>ResourceId</t>
  </si>
  <si>
    <t>Actual cost:</t>
  </si>
  <si>
    <t>Generated:</t>
  </si>
  <si>
    <t>Wed, Jan 21, 2026 03:59:14 AM</t>
  </si>
  <si>
    <t>UTC</t>
  </si>
  <si>
    <t>API</t>
  </si>
  <si>
    <t>Learn more:</t>
  </si>
  <si>
    <t>ResourceType</t>
  </si>
  <si>
    <t>ResourceLocation</t>
  </si>
  <si>
    <t>ResourceGroupName</t>
  </si>
  <si>
    <t>ServiceName</t>
  </si>
  <si>
    <t>ServiceTier</t>
  </si>
  <si>
    <t>Meter</t>
  </si>
  <si>
    <t>Tags</t>
  </si>
  <si>
    <t>CostUSD</t>
  </si>
  <si>
    <t>Cost</t>
  </si>
  <si>
    <t>Currency</t>
  </si>
  <si>
    <t>/subscriptions/13b8351d-42fc-45bc-b831-775a7ea6be09/resourcegroups/intellioptics/providers/microsoft.apimanagement/service/apim-intellioptics</t>
  </si>
  <si>
    <t>microsoft.apimanagement/service</t>
  </si>
  <si>
    <t>US East</t>
  </si>
  <si>
    <t>intellioptics</t>
  </si>
  <si>
    <t>API Management</t>
  </si>
  <si>
    <t>Developer Unit</t>
  </si>
  <si>
    <t>USD</t>
  </si>
  <si>
    <t>/subscriptions/13b8351d-42fc-45bc-b831-775a7ea6be09/resourcegroups/intellioptics/providers/microsoft.app/containerapps/intellioptics-api-37558</t>
  </si>
  <si>
    <t>microsoft.app/containerapps</t>
  </si>
  <si>
    <t>Azure Container Apps</t>
  </si>
  <si>
    <t>Standard Memory Active Usage</t>
  </si>
  <si>
    <t>Standard vCPU Active Usage</t>
  </si>
  <si>
    <t>/subscriptions/13b8351d-42fc-45bc-b831-775a7ea6be09/resourcegroups/intellioptics/providers/microsoft.app/containerapps/io-worker</t>
  </si>
  <si>
    <t>/subscriptions/13b8351d-42fc-45bc-b831-775a7ea6be09/resourcegroups/intellioptics/providers/microsoft.containerregistry/registries/acrintellioptics</t>
  </si>
  <si>
    <t>microsoft.containerregistry/registries</t>
  </si>
  <si>
    <t>Container Registry</t>
  </si>
  <si>
    <t>Standard Registry Unit</t>
  </si>
  <si>
    <t>/subscriptions/13b8351d-42fc-45bc-b831-775a7ea6be09/resourcegroups/intellioptics/providers/microsoft.containerservice/managedclusters/intellioptics</t>
  </si>
  <si>
    <t>microsoft.containerservice/managedclusters</t>
  </si>
  <si>
    <t>Azure Kubernetes Service</t>
  </si>
  <si>
    <t>Standard Uptime SLA</t>
  </si>
  <si>
    <t>managedby:devops, owner:jmorgan@4wardmotions.com, project:intellioptics, env:prod, businessunit:4wardmotion, compliance:none, component:edge-endpoint, costcenter:io-edge, dataclass:internal</t>
  </si>
  <si>
    <t>/subscriptions/13b8351d-42fc-45bc-b831-775a7ea6be09/resourcegroups/intellioptics/providers/microsoft.dbforpostgresql/flexibleservers/pg-intellioptics</t>
  </si>
  <si>
    <t>microsoft.dbforpostgresql/flexibleservers</t>
  </si>
  <si>
    <t>Azure Database for PostgreSQL</t>
  </si>
  <si>
    <t>Flexible Server General Purpose - Ddsv5 Series Compute</t>
  </si>
  <si>
    <t>vCore</t>
  </si>
  <si>
    <t>Flexible Server Storage</t>
  </si>
  <si>
    <t>Storage Data Stored</t>
  </si>
  <si>
    <t>/subscriptions/13b8351d-42fc-45bc-b831-775a7ea6be09/resourcegroups/intellioptics/providers/microsoft.insights/metricalerts/cpu usage percentage - intellioptics</t>
  </si>
  <si>
    <t>microsoft.insights/metricalerts</t>
  </si>
  <si>
    <t>Unknown</t>
  </si>
  <si>
    <t>Azure Monitor</t>
  </si>
  <si>
    <t>Alerts Metric Monitored</t>
  </si>
  <si>
    <t>/subscriptions/13b8351d-42fc-45bc-b831-775a7ea6be09/resourcegroups/intellioptics/providers/microsoft.insights/metricalerts/memory working set percentage - intellioptics</t>
  </si>
  <si>
    <t>/subscriptions/13b8351d-42fc-45bc-b831-775a7ea6be09/resourcegroups/intellioptics/providers/microsoft.keyvault/vaults/kv-intellioptics</t>
  </si>
  <si>
    <t>microsoft.keyvault/vaults</t>
  </si>
  <si>
    <t>US Central</t>
  </si>
  <si>
    <t>Key Vault</t>
  </si>
  <si>
    <t>Operations</t>
  </si>
  <si>
    <t>/subscriptions/13b8351d-42fc-45bc-b831-775a7ea6be09/resourcegroups/intellioptics/providers/microsoft.operationalinsights/workspaces/workspace-ntelliptics6pmr</t>
  </si>
  <si>
    <t>microsoft.operationalinsights/workspaces</t>
  </si>
  <si>
    <t>Log Analytics</t>
  </si>
  <si>
    <t>Analytics Logs Data Ingestion</t>
  </si>
  <si>
    <t>/subscriptions/13b8351d-42fc-45bc-b831-775a7ea6be09/resourcegroups/intellioptics/providers/microsoft.servicebus/namespaces/sb-intellioptics</t>
  </si>
  <si>
    <t>microsoft.servicebus/namespaces</t>
  </si>
  <si>
    <t>Service Bus</t>
  </si>
  <si>
    <t>Standard Messaging Operations</t>
  </si>
  <si>
    <t>/subscriptions/13b8351d-42fc-45bc-b831-775a7ea6be09/resourcegroups/intellioptics/providers/microsoft.storage/storageaccounts/intelliopticsweb37558</t>
  </si>
  <si>
    <t>microsoft.storage/storageaccounts</t>
  </si>
  <si>
    <t>Bandwidth</t>
  </si>
  <si>
    <t>Standard Data Transfer In</t>
  </si>
  <si>
    <t>Standard Data Transfer Out</t>
  </si>
  <si>
    <t>Storage</t>
  </si>
  <si>
    <t>Files</t>
  </si>
  <si>
    <t>LRS Data Stored</t>
  </si>
  <si>
    <t>Read Operations</t>
  </si>
  <si>
    <t>Tiered Block Blob</t>
  </si>
  <si>
    <t>All Other Operations</t>
  </si>
  <si>
    <t>Hot LRS Data Stored</t>
  </si>
  <si>
    <t>Hot LRS Write Operations</t>
  </si>
  <si>
    <t>Hot Read Operations</t>
  </si>
  <si>
    <t>LRS List and Create Container Operations</t>
  </si>
  <si>
    <t>/subscriptions/13b8351d-42fc-45bc-b831-775a7ea6be09/resourcegroups/intellioptics/providers/microsoft.storage/storageaccounts/stintelliopticsprod</t>
  </si>
  <si>
    <t>/subscriptions/13b8351d-42fc-45bc-b831-775a7ea6be09/resourcegroups/intellioptics/providers/microsoft.web/serverfarms/asp-intellioptics-linux</t>
  </si>
  <si>
    <t>microsoft.web/serverfarms</t>
  </si>
  <si>
    <t>Azure App Service</t>
  </si>
  <si>
    <t>Basic Plan - Linux</t>
  </si>
  <si>
    <t>B1</t>
  </si>
  <si>
    <t>/subscriptions/13b8351d-42fc-45bc-b831-775a7ea6be09/resourcegroups/intellioptics/providers/microsoft.web/serverfarms/plan-intellioptics-api</t>
  </si>
  <si>
    <t>/subscriptions/13b8351d-42fc-45bc-b831-775a7ea6be09/resourcegroups/intellioptics/providers/microsoft.web/sites/intellioptics-api-37558</t>
  </si>
  <si>
    <t>microsoft.web/sites</t>
  </si>
  <si>
    <t>Free Plan - Linux</t>
  </si>
  <si>
    <t>F1 App</t>
  </si>
  <si>
    <t>/subscriptions/13b8351d-42fc-45bc-b831-775a7ea6be09/resourcegroups/intellioptics/providers/microsoft.web/sites/intellioptics-edge-37558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</si>
</sst>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opLeftCell="A48" workbookViewId="0"/>
  </sheetViews>
  <sheetFormatPr defaultRowHeight="15" x14ac:dyDescent="0.25"/>
  <sheetData>
    <row r="1" spans="1:4" ht="15.75" x14ac:dyDescent="0.25">
      <c r="A1" t="s">
        <v>0</v>
      </c>
    </row>
    <row r="2" spans="1:4" ht="15.75" x14ac:dyDescent="0.25">
      <c r="A2" t="s">
        <v>0</v>
      </c>
      <c r="B2" t="s">
        <v>1</v>
      </c>
    </row>
    <row r="3" spans="1:4" ht="15.75" x14ac:dyDescent="0.25">
      <c r="A3" t="s">
        <v>0</v>
      </c>
      <c r="B3" t="s">
        <v>2</v>
      </c>
      <c r="C3" t="s">
        <v>3</v>
      </c>
    </row>
    <row r="4" spans="1:4" ht="15.75" x14ac:dyDescent="0.25">
      <c r="A4" t="s">
        <v>0</v>
      </c>
      <c r="B4" t="s">
        <v>4</v>
      </c>
      <c r="C4" t="s">
        <v>5</v>
      </c>
    </row>
    <row r="5" spans="1:4" ht="15.75" x14ac:dyDescent="0.25">
      <c r="A5" t="s">
        <v>0</v>
      </c>
      <c r="B5" t="s">
        <v>6</v>
      </c>
      <c r="C5" t="s">
        <v>7</v>
      </c>
    </row>
    <row r="6" spans="1:4" ht="15.75" x14ac:dyDescent="0.25">
      <c r="A6" t="s">
        <v>0</v>
      </c>
    </row>
    <row r="7" spans="1:4" ht="15.75" x14ac:dyDescent="0.25">
      <c r="A7" t="s">
        <v>0</v>
      </c>
      <c r="B7" t="s">
        <v>8</v>
      </c>
      <c r="C7" t="s">
        <v>9</v>
      </c>
    </row>
    <row r="8" spans="1:4" ht="15.75" x14ac:dyDescent="0.25">
      <c r="A8" t="s">
        <v>0</v>
      </c>
      <c r="B8" t="s">
        <v>10</v>
      </c>
      <c r="C8" t="s">
        <v>11</v>
      </c>
    </row>
    <row r="9" spans="1:4" ht="15.75" x14ac:dyDescent="0.25">
      <c r="A9" t="s">
        <v>0</v>
      </c>
      <c r="B9" t="s">
        <v>12</v>
      </c>
      <c r="C9" t="s">
        <v>13</v>
      </c>
    </row>
    <row r="10" spans="1:4" ht="15.75" x14ac:dyDescent="0.25">
      <c r="A10" t="s">
        <v>0</v>
      </c>
      <c r="B10" t="s">
        <v>14</v>
      </c>
      <c r="C10" t="s">
        <v>15</v>
      </c>
    </row>
    <row r="11" spans="1:4" ht="15.75" x14ac:dyDescent="0.25">
      <c r="A11" t="s">
        <v>0</v>
      </c>
      <c r="B11" t="s">
        <v>16</v>
      </c>
      <c r="C11" t="s">
        <v>17</v>
      </c>
    </row>
    <row r="12" spans="1:4" ht="15.75" x14ac:dyDescent="0.25">
      <c r="A12" t="s">
        <v>0</v>
      </c>
    </row>
    <row r="13" spans="1:4" ht="15.75" x14ac:dyDescent="0.25">
      <c r="A13" t="s">
        <v>0</v>
      </c>
      <c r="B13" t="s">
        <v>18</v>
      </c>
      <c r="C13">
        <f>SUM(Data!I:I)</f>
        <v>342.32288717038273</v>
      </c>
    </row>
    <row r="15" spans="1:4" ht="15.75" x14ac:dyDescent="0.25">
      <c r="A15" t="s">
        <v>0</v>
      </c>
    </row>
    <row r="16" spans="1:4" ht="15.75" x14ac:dyDescent="0.25">
      <c r="A16" t="s">
        <v>0</v>
      </c>
      <c r="B16" t="s">
        <v>19</v>
      </c>
      <c r="C16" t="s">
        <v>20</v>
      </c>
      <c r="D16" t="s">
        <v>21</v>
      </c>
    </row>
    <row r="17" spans="1:3" ht="15.75" x14ac:dyDescent="0.25">
      <c r="A17" t="s">
        <v>0</v>
      </c>
    </row>
    <row r="18" spans="1:3" ht="15.75" x14ac:dyDescent="0.25">
      <c r="A18" t="s">
        <v>0</v>
      </c>
      <c r="B18" t="s">
        <v>22</v>
      </c>
    </row>
    <row r="19" spans="1:3" ht="15.75" x14ac:dyDescent="0.25">
      <c r="A19" t="s">
        <v>0</v>
      </c>
      <c r="B19" t="s">
        <v>23</v>
      </c>
      <c r="C19" t="str">
        <f>HYPERLINK("https://aka.ms/costanalysis/api","https://aka.ms/costanalysis/api")</f>
        <v>https://aka.ms/costanalysis/api</v>
      </c>
    </row>
  </sheetData>
  <pageMargins left="0.7" right="0.7" top="0.75" bottom="0.75" header="0.3" footer="0.3"/>
  <ignoredErrors>
    <ignoredError sqref="A1:D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workbookViewId="0">
      <selection activeCell="A7" sqref="A7"/>
    </sheetView>
  </sheetViews>
  <sheetFormatPr defaultRowHeight="15" x14ac:dyDescent="0.25"/>
  <cols>
    <col min="1" max="1" width="146.5" bestFit="1" customWidth="1"/>
    <col min="2" max="2" width="37.875" bestFit="1" customWidth="1"/>
    <col min="3" max="3" width="17.375" bestFit="1" customWidth="1"/>
    <col min="4" max="4" width="20.25" bestFit="1" customWidth="1"/>
    <col min="5" max="5" width="26.625" bestFit="1" customWidth="1"/>
    <col min="6" max="6" width="47.375" bestFit="1" customWidth="1"/>
    <col min="7" max="7" width="35.125" bestFit="1" customWidth="1"/>
    <col min="8" max="8" width="167.125" bestFit="1" customWidth="1"/>
    <col min="9" max="10" width="11.875" bestFit="1" customWidth="1"/>
  </cols>
  <sheetData>
    <row r="1" spans="1:11" ht="15.75" x14ac:dyDescent="0.25">
      <c r="A1" t="s">
        <v>17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ht="15.7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38</v>
      </c>
      <c r="G2" t="s">
        <v>39</v>
      </c>
      <c r="H2" t="s">
        <v>0</v>
      </c>
      <c r="I2">
        <v>30.3992791946309</v>
      </c>
      <c r="J2">
        <v>30.3992791946309</v>
      </c>
      <c r="K2" t="s">
        <v>40</v>
      </c>
    </row>
    <row r="3" spans="1:11" ht="15.75" x14ac:dyDescent="0.25">
      <c r="A3" t="s">
        <v>41</v>
      </c>
      <c r="B3" t="s">
        <v>42</v>
      </c>
      <c r="C3" t="s">
        <v>36</v>
      </c>
      <c r="D3" t="s">
        <v>37</v>
      </c>
      <c r="E3" t="s">
        <v>43</v>
      </c>
      <c r="F3" t="s">
        <v>0</v>
      </c>
      <c r="G3" t="s">
        <v>44</v>
      </c>
      <c r="H3" t="s">
        <v>0</v>
      </c>
      <c r="I3">
        <v>19.229453483274099</v>
      </c>
      <c r="J3">
        <v>19.229453483274099</v>
      </c>
      <c r="K3" t="s">
        <v>40</v>
      </c>
    </row>
    <row r="4" spans="1:11" ht="15.75" x14ac:dyDescent="0.25">
      <c r="A4" t="s">
        <v>41</v>
      </c>
      <c r="B4" t="s">
        <v>42</v>
      </c>
      <c r="C4" t="s">
        <v>36</v>
      </c>
      <c r="D4" t="s">
        <v>37</v>
      </c>
      <c r="E4" t="s">
        <v>43</v>
      </c>
      <c r="F4" t="s">
        <v>0</v>
      </c>
      <c r="G4" t="s">
        <v>45</v>
      </c>
      <c r="H4" t="s">
        <v>0</v>
      </c>
      <c r="I4">
        <v>76.9181466901276</v>
      </c>
      <c r="J4">
        <v>76.9181466901276</v>
      </c>
      <c r="K4" t="s">
        <v>40</v>
      </c>
    </row>
    <row r="5" spans="1:11" ht="15.75" x14ac:dyDescent="0.25">
      <c r="A5" t="s">
        <v>46</v>
      </c>
      <c r="B5" t="s">
        <v>42</v>
      </c>
      <c r="C5" t="s">
        <v>36</v>
      </c>
      <c r="D5" t="s">
        <v>37</v>
      </c>
      <c r="E5" t="s">
        <v>43</v>
      </c>
      <c r="F5" t="s">
        <v>0</v>
      </c>
      <c r="G5" t="s">
        <v>44</v>
      </c>
      <c r="H5" t="s">
        <v>0</v>
      </c>
      <c r="I5">
        <v>9.6120267266051904</v>
      </c>
      <c r="J5">
        <v>9.6120267266051904</v>
      </c>
      <c r="K5" t="s">
        <v>40</v>
      </c>
    </row>
    <row r="6" spans="1:11" ht="15.75" x14ac:dyDescent="0.25">
      <c r="A6" t="s">
        <v>46</v>
      </c>
      <c r="B6" t="s">
        <v>42</v>
      </c>
      <c r="C6" t="s">
        <v>36</v>
      </c>
      <c r="D6" t="s">
        <v>37</v>
      </c>
      <c r="E6" t="s">
        <v>43</v>
      </c>
      <c r="F6" t="s">
        <v>0</v>
      </c>
      <c r="G6" t="s">
        <v>45</v>
      </c>
      <c r="H6" t="s">
        <v>0</v>
      </c>
      <c r="I6">
        <v>38.448273191412802</v>
      </c>
      <c r="J6">
        <v>38.448273191412802</v>
      </c>
      <c r="K6" t="s">
        <v>40</v>
      </c>
    </row>
    <row r="7" spans="1:11" ht="15.75" x14ac:dyDescent="0.25">
      <c r="A7" t="s">
        <v>47</v>
      </c>
      <c r="B7" t="s">
        <v>48</v>
      </c>
      <c r="C7" t="s">
        <v>36</v>
      </c>
      <c r="D7" t="s">
        <v>37</v>
      </c>
      <c r="E7" t="s">
        <v>49</v>
      </c>
      <c r="F7" t="s">
        <v>0</v>
      </c>
      <c r="G7" t="s">
        <v>50</v>
      </c>
      <c r="H7" t="s">
        <v>0</v>
      </c>
      <c r="I7">
        <v>12.832051071027299</v>
      </c>
      <c r="J7">
        <v>12.832051071027299</v>
      </c>
      <c r="K7" t="s">
        <v>40</v>
      </c>
    </row>
    <row r="8" spans="1:11" ht="15.75" x14ac:dyDescent="0.25">
      <c r="A8" t="s">
        <v>51</v>
      </c>
      <c r="B8" t="s">
        <v>52</v>
      </c>
      <c r="C8" t="s">
        <v>36</v>
      </c>
      <c r="D8" t="s">
        <v>37</v>
      </c>
      <c r="E8" t="s">
        <v>53</v>
      </c>
      <c r="F8" t="s">
        <v>0</v>
      </c>
      <c r="G8" t="s">
        <v>54</v>
      </c>
      <c r="H8" t="s">
        <v>55</v>
      </c>
      <c r="I8">
        <v>46.296668335704403</v>
      </c>
      <c r="J8">
        <v>46.296668335704403</v>
      </c>
      <c r="K8" t="s">
        <v>40</v>
      </c>
    </row>
    <row r="9" spans="1:11" ht="15.75" x14ac:dyDescent="0.25">
      <c r="A9" t="s">
        <v>56</v>
      </c>
      <c r="B9" t="s">
        <v>57</v>
      </c>
      <c r="C9" t="s">
        <v>36</v>
      </c>
      <c r="D9" t="s">
        <v>37</v>
      </c>
      <c r="E9" t="s">
        <v>58</v>
      </c>
      <c r="F9" t="s">
        <v>59</v>
      </c>
      <c r="G9" t="s">
        <v>60</v>
      </c>
      <c r="H9" t="s">
        <v>0</v>
      </c>
      <c r="I9">
        <v>82.236640750670205</v>
      </c>
      <c r="J9">
        <v>82.236640750670205</v>
      </c>
      <c r="K9" t="s">
        <v>40</v>
      </c>
    </row>
    <row r="10" spans="1:11" ht="15.75" x14ac:dyDescent="0.25">
      <c r="A10" t="s">
        <v>56</v>
      </c>
      <c r="B10" t="s">
        <v>57</v>
      </c>
      <c r="C10" t="s">
        <v>36</v>
      </c>
      <c r="D10" t="s">
        <v>37</v>
      </c>
      <c r="E10" t="s">
        <v>58</v>
      </c>
      <c r="F10" t="s">
        <v>61</v>
      </c>
      <c r="G10" t="s">
        <v>62</v>
      </c>
      <c r="H10" t="s">
        <v>0</v>
      </c>
      <c r="I10">
        <v>9.1407829571333803</v>
      </c>
      <c r="J10">
        <v>9.1407829571333803</v>
      </c>
      <c r="K10" t="s">
        <v>40</v>
      </c>
    </row>
    <row r="11" spans="1:11" ht="15.75" x14ac:dyDescent="0.25">
      <c r="A11" t="s">
        <v>63</v>
      </c>
      <c r="B11" t="s">
        <v>64</v>
      </c>
      <c r="C11" t="s">
        <v>65</v>
      </c>
      <c r="D11" t="s">
        <v>37</v>
      </c>
      <c r="E11" t="s">
        <v>66</v>
      </c>
      <c r="F11" t="s">
        <v>0</v>
      </c>
      <c r="G11" t="s">
        <v>67</v>
      </c>
      <c r="H11" t="s">
        <v>55</v>
      </c>
      <c r="I11">
        <v>0</v>
      </c>
      <c r="J11">
        <v>0</v>
      </c>
      <c r="K11" t="s">
        <v>40</v>
      </c>
    </row>
    <row r="12" spans="1:11" ht="15.75" x14ac:dyDescent="0.25">
      <c r="A12" t="s">
        <v>68</v>
      </c>
      <c r="B12" t="s">
        <v>64</v>
      </c>
      <c r="C12" t="s">
        <v>65</v>
      </c>
      <c r="D12" t="s">
        <v>37</v>
      </c>
      <c r="E12" t="s">
        <v>66</v>
      </c>
      <c r="F12" t="s">
        <v>0</v>
      </c>
      <c r="G12" t="s">
        <v>67</v>
      </c>
      <c r="H12" t="s">
        <v>55</v>
      </c>
      <c r="I12">
        <v>0</v>
      </c>
      <c r="J12">
        <v>0</v>
      </c>
      <c r="K12" t="s">
        <v>40</v>
      </c>
    </row>
    <row r="13" spans="1:11" ht="15.75" x14ac:dyDescent="0.25">
      <c r="A13" t="s">
        <v>69</v>
      </c>
      <c r="B13" t="s">
        <v>70</v>
      </c>
      <c r="C13" t="s">
        <v>71</v>
      </c>
      <c r="D13" t="s">
        <v>37</v>
      </c>
      <c r="E13" t="s">
        <v>72</v>
      </c>
      <c r="F13" t="s">
        <v>0</v>
      </c>
      <c r="G13" t="s">
        <v>73</v>
      </c>
      <c r="H13" t="s">
        <v>0</v>
      </c>
      <c r="I13">
        <v>5.6953993610000002E-4</v>
      </c>
      <c r="J13">
        <v>5.6953993610000002E-4</v>
      </c>
      <c r="K13" t="s">
        <v>40</v>
      </c>
    </row>
    <row r="14" spans="1:11" ht="15.75" x14ac:dyDescent="0.25">
      <c r="A14" t="s">
        <v>74</v>
      </c>
      <c r="B14" t="s">
        <v>75</v>
      </c>
      <c r="C14" t="s">
        <v>36</v>
      </c>
      <c r="D14" t="s">
        <v>37</v>
      </c>
      <c r="E14" t="s">
        <v>76</v>
      </c>
      <c r="F14" t="s">
        <v>0</v>
      </c>
      <c r="G14" t="s">
        <v>77</v>
      </c>
      <c r="H14" t="s">
        <v>0</v>
      </c>
      <c r="I14">
        <v>4.0044653597492999E-2</v>
      </c>
      <c r="J14">
        <v>4.0044653597492999E-2</v>
      </c>
      <c r="K14" t="s">
        <v>40</v>
      </c>
    </row>
    <row r="15" spans="1:11" ht="15.75" x14ac:dyDescent="0.25">
      <c r="A15" t="s">
        <v>78</v>
      </c>
      <c r="B15" t="s">
        <v>79</v>
      </c>
      <c r="C15" t="s">
        <v>71</v>
      </c>
      <c r="D15" t="s">
        <v>37</v>
      </c>
      <c r="E15" t="s">
        <v>80</v>
      </c>
      <c r="F15" t="s">
        <v>0</v>
      </c>
      <c r="G15" t="s">
        <v>81</v>
      </c>
      <c r="H15" t="s">
        <v>0</v>
      </c>
      <c r="I15">
        <v>0</v>
      </c>
      <c r="J15">
        <v>0</v>
      </c>
      <c r="K15" t="s">
        <v>40</v>
      </c>
    </row>
    <row r="16" spans="1:11" ht="15.75" x14ac:dyDescent="0.25">
      <c r="A16" t="s">
        <v>82</v>
      </c>
      <c r="B16" t="s">
        <v>83</v>
      </c>
      <c r="C16" t="s">
        <v>36</v>
      </c>
      <c r="D16" t="s">
        <v>37</v>
      </c>
      <c r="E16" t="s">
        <v>84</v>
      </c>
      <c r="F16" t="s">
        <v>0</v>
      </c>
      <c r="G16" t="s">
        <v>85</v>
      </c>
      <c r="H16" t="s">
        <v>0</v>
      </c>
      <c r="I16">
        <v>0</v>
      </c>
      <c r="J16">
        <v>0</v>
      </c>
      <c r="K16" t="s">
        <v>40</v>
      </c>
    </row>
    <row r="17" spans="1:11" ht="15.75" x14ac:dyDescent="0.25">
      <c r="A17" t="s">
        <v>82</v>
      </c>
      <c r="B17" t="s">
        <v>83</v>
      </c>
      <c r="C17" t="s">
        <v>36</v>
      </c>
      <c r="D17" t="s">
        <v>37</v>
      </c>
      <c r="E17" t="s">
        <v>84</v>
      </c>
      <c r="F17" t="s">
        <v>0</v>
      </c>
      <c r="G17" t="s">
        <v>86</v>
      </c>
      <c r="H17" t="s">
        <v>0</v>
      </c>
      <c r="I17">
        <v>0</v>
      </c>
      <c r="J17">
        <v>0</v>
      </c>
      <c r="K17" t="s">
        <v>40</v>
      </c>
    </row>
    <row r="18" spans="1:11" ht="15.75" x14ac:dyDescent="0.25">
      <c r="A18" t="s">
        <v>82</v>
      </c>
      <c r="B18" t="s">
        <v>83</v>
      </c>
      <c r="C18" t="s">
        <v>36</v>
      </c>
      <c r="D18" t="s">
        <v>37</v>
      </c>
      <c r="E18" t="s">
        <v>87</v>
      </c>
      <c r="F18" t="s">
        <v>88</v>
      </c>
      <c r="G18" t="s">
        <v>89</v>
      </c>
      <c r="H18" t="s">
        <v>0</v>
      </c>
      <c r="I18">
        <v>6.6601103542000004E-4</v>
      </c>
      <c r="J18">
        <v>6.6601103542000004E-4</v>
      </c>
      <c r="K18" t="s">
        <v>40</v>
      </c>
    </row>
    <row r="19" spans="1:11" ht="15.75" x14ac:dyDescent="0.25">
      <c r="A19" t="s">
        <v>82</v>
      </c>
      <c r="B19" t="s">
        <v>83</v>
      </c>
      <c r="C19" t="s">
        <v>36</v>
      </c>
      <c r="D19" t="s">
        <v>37</v>
      </c>
      <c r="E19" t="s">
        <v>87</v>
      </c>
      <c r="F19" t="s">
        <v>88</v>
      </c>
      <c r="G19" t="s">
        <v>90</v>
      </c>
      <c r="H19" t="s">
        <v>0</v>
      </c>
      <c r="I19">
        <v>8.9999999999999996E-7</v>
      </c>
      <c r="J19">
        <v>8.9999999999999996E-7</v>
      </c>
      <c r="K19" t="s">
        <v>40</v>
      </c>
    </row>
    <row r="20" spans="1:11" ht="15.75" x14ac:dyDescent="0.25">
      <c r="A20" t="s">
        <v>82</v>
      </c>
      <c r="B20" t="s">
        <v>83</v>
      </c>
      <c r="C20" t="s">
        <v>36</v>
      </c>
      <c r="D20" t="s">
        <v>37</v>
      </c>
      <c r="E20" t="s">
        <v>87</v>
      </c>
      <c r="F20" t="s">
        <v>91</v>
      </c>
      <c r="G20" t="s">
        <v>92</v>
      </c>
      <c r="H20" t="s">
        <v>0</v>
      </c>
      <c r="I20">
        <v>0.10065395517469</v>
      </c>
      <c r="J20">
        <v>0.10065395517469</v>
      </c>
      <c r="K20" t="s">
        <v>40</v>
      </c>
    </row>
    <row r="21" spans="1:11" ht="15.75" x14ac:dyDescent="0.25">
      <c r="A21" t="s">
        <v>82</v>
      </c>
      <c r="B21" t="s">
        <v>83</v>
      </c>
      <c r="C21" t="s">
        <v>36</v>
      </c>
      <c r="D21" t="s">
        <v>37</v>
      </c>
      <c r="E21" t="s">
        <v>87</v>
      </c>
      <c r="F21" t="s">
        <v>91</v>
      </c>
      <c r="G21" t="s">
        <v>93</v>
      </c>
      <c r="H21" t="s">
        <v>0</v>
      </c>
      <c r="I21">
        <v>9.8994826303029998E-2</v>
      </c>
      <c r="J21">
        <v>9.8994826303029998E-2</v>
      </c>
      <c r="K21" t="s">
        <v>40</v>
      </c>
    </row>
    <row r="22" spans="1:11" ht="15.75" x14ac:dyDescent="0.25">
      <c r="A22" t="s">
        <v>82</v>
      </c>
      <c r="B22" t="s">
        <v>83</v>
      </c>
      <c r="C22" t="s">
        <v>36</v>
      </c>
      <c r="D22" t="s">
        <v>37</v>
      </c>
      <c r="E22" t="s">
        <v>87</v>
      </c>
      <c r="F22" t="s">
        <v>91</v>
      </c>
      <c r="G22" t="s">
        <v>94</v>
      </c>
      <c r="H22" t="s">
        <v>0</v>
      </c>
      <c r="I22">
        <v>1.25853674053183</v>
      </c>
      <c r="J22">
        <v>1.25853674053183</v>
      </c>
      <c r="K22" t="s">
        <v>40</v>
      </c>
    </row>
    <row r="23" spans="1:11" ht="15.75" x14ac:dyDescent="0.25">
      <c r="A23" t="s">
        <v>82</v>
      </c>
      <c r="B23" t="s">
        <v>83</v>
      </c>
      <c r="C23" t="s">
        <v>36</v>
      </c>
      <c r="D23" t="s">
        <v>37</v>
      </c>
      <c r="E23" t="s">
        <v>87</v>
      </c>
      <c r="F23" t="s">
        <v>91</v>
      </c>
      <c r="G23" t="s">
        <v>95</v>
      </c>
      <c r="H23" t="s">
        <v>0</v>
      </c>
      <c r="I23">
        <v>7.78691974876E-4</v>
      </c>
      <c r="J23">
        <v>7.78691974876E-4</v>
      </c>
      <c r="K23" t="s">
        <v>40</v>
      </c>
    </row>
    <row r="24" spans="1:11" ht="15.75" x14ac:dyDescent="0.25">
      <c r="A24" t="s">
        <v>82</v>
      </c>
      <c r="B24" t="s">
        <v>83</v>
      </c>
      <c r="C24" t="s">
        <v>36</v>
      </c>
      <c r="D24" t="s">
        <v>37</v>
      </c>
      <c r="E24" t="s">
        <v>87</v>
      </c>
      <c r="F24" t="s">
        <v>91</v>
      </c>
      <c r="G24" t="s">
        <v>96</v>
      </c>
      <c r="H24" t="s">
        <v>0</v>
      </c>
      <c r="I24">
        <v>4.04223034733E-4</v>
      </c>
      <c r="J24">
        <v>4.04223034733E-4</v>
      </c>
      <c r="K24" t="s">
        <v>40</v>
      </c>
    </row>
    <row r="25" spans="1:11" ht="15.75" x14ac:dyDescent="0.25">
      <c r="A25" t="s">
        <v>97</v>
      </c>
      <c r="B25" t="s">
        <v>83</v>
      </c>
      <c r="C25" t="s">
        <v>71</v>
      </c>
      <c r="D25" t="s">
        <v>37</v>
      </c>
      <c r="E25" t="s">
        <v>87</v>
      </c>
      <c r="F25" t="s">
        <v>91</v>
      </c>
      <c r="G25" t="s">
        <v>93</v>
      </c>
      <c r="H25" t="s">
        <v>0</v>
      </c>
      <c r="I25">
        <v>6.0893981770000001E-5</v>
      </c>
      <c r="J25">
        <v>6.0893981770000001E-5</v>
      </c>
      <c r="K25" t="s">
        <v>40</v>
      </c>
    </row>
    <row r="26" spans="1:11" ht="15.75" x14ac:dyDescent="0.25">
      <c r="A26" t="s">
        <v>98</v>
      </c>
      <c r="B26" t="s">
        <v>99</v>
      </c>
      <c r="C26" t="s">
        <v>36</v>
      </c>
      <c r="D26" t="s">
        <v>37</v>
      </c>
      <c r="E26" t="s">
        <v>100</v>
      </c>
      <c r="F26" t="s">
        <v>101</v>
      </c>
      <c r="G26" t="s">
        <v>102</v>
      </c>
      <c r="H26" t="s">
        <v>0</v>
      </c>
      <c r="I26">
        <v>7.8544271671134904</v>
      </c>
      <c r="J26">
        <v>7.8544271671134904</v>
      </c>
      <c r="K26" t="s">
        <v>40</v>
      </c>
    </row>
    <row r="27" spans="1:11" ht="15.75" x14ac:dyDescent="0.25">
      <c r="A27" t="s">
        <v>103</v>
      </c>
      <c r="B27" t="s">
        <v>99</v>
      </c>
      <c r="C27" t="s">
        <v>36</v>
      </c>
      <c r="D27" t="s">
        <v>37</v>
      </c>
      <c r="E27" t="s">
        <v>100</v>
      </c>
      <c r="F27" t="s">
        <v>101</v>
      </c>
      <c r="G27" t="s">
        <v>102</v>
      </c>
      <c r="H27" t="s">
        <v>0</v>
      </c>
      <c r="I27">
        <v>7.8544271671134904</v>
      </c>
      <c r="J27">
        <v>7.8544271671134904</v>
      </c>
      <c r="K27" t="s">
        <v>40</v>
      </c>
    </row>
    <row r="28" spans="1:11" ht="15.75" x14ac:dyDescent="0.25">
      <c r="A28" t="s">
        <v>104</v>
      </c>
      <c r="B28" t="s">
        <v>105</v>
      </c>
      <c r="C28" t="s">
        <v>36</v>
      </c>
      <c r="D28" t="s">
        <v>37</v>
      </c>
      <c r="E28" t="s">
        <v>100</v>
      </c>
      <c r="F28" t="s">
        <v>106</v>
      </c>
      <c r="G28" t="s">
        <v>107</v>
      </c>
      <c r="H28" t="s">
        <v>0</v>
      </c>
      <c r="I28">
        <v>0</v>
      </c>
      <c r="J28">
        <v>0</v>
      </c>
      <c r="K28" t="s">
        <v>40</v>
      </c>
    </row>
    <row r="29" spans="1:11" ht="15.75" x14ac:dyDescent="0.25">
      <c r="A29" t="s">
        <v>108</v>
      </c>
      <c r="B29" t="s">
        <v>105</v>
      </c>
      <c r="C29" t="s">
        <v>36</v>
      </c>
      <c r="D29" t="s">
        <v>37</v>
      </c>
      <c r="E29" t="s">
        <v>100</v>
      </c>
      <c r="F29" t="s">
        <v>106</v>
      </c>
      <c r="G29" t="s">
        <v>107</v>
      </c>
      <c r="H29" t="s">
        <v>0</v>
      </c>
      <c r="I29">
        <v>0</v>
      </c>
      <c r="J29">
        <v>0</v>
      </c>
      <c r="K29" t="s">
        <v>40</v>
      </c>
    </row>
  </sheetData>
  <autoFilter ref="A1:K29" xr:uid="{00000000-0009-0000-0000-000001000000}"/>
  <pageMargins left="0.7" right="0.7" top="0.75" bottom="0.75" header="0.3" footer="0.3"/>
  <ignoredErrors>
    <ignoredError sqref="A1:K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Data</vt:lpstr>
      <vt:lpstr>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Morgan</cp:lastModifiedBy>
  <dcterms:created xsi:type="dcterms:W3CDTF">2026-01-21T04:03:29Z</dcterms:created>
  <dcterms:modified xsi:type="dcterms:W3CDTF">2026-01-21T04:03:29Z</dcterms:modified>
</cp:coreProperties>
</file>